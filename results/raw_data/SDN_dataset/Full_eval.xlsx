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4\FYP\evaluation\SDN\"/>
    </mc:Choice>
  </mc:AlternateContent>
  <xr:revisionPtr revIDLastSave="0" documentId="13_ncr:1_{B2F1746E-2C5C-4F81-88F8-0FED0B12D22E}" xr6:coauthVersionLast="47" xr6:coauthVersionMax="47" xr10:uidLastSave="{00000000-0000-0000-0000-000000000000}"/>
  <bookViews>
    <workbookView xWindow="-108" yWindow="-108" windowWidth="23256" windowHeight="13176" activeTab="3" xr2:uid="{3ABDBD38-EAAC-48C4-B5DA-B7B51ADCCBA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6" i="3"/>
  <c r="E7" i="3"/>
  <c r="E8" i="3"/>
  <c r="E10" i="3"/>
  <c r="E11" i="3"/>
  <c r="E12" i="3"/>
  <c r="H10" i="1"/>
  <c r="K6" i="1"/>
  <c r="K7" i="1"/>
  <c r="K8" i="1"/>
  <c r="K10" i="1"/>
  <c r="K11" i="1"/>
  <c r="K12" i="1"/>
  <c r="J6" i="1"/>
  <c r="J7" i="1"/>
  <c r="J8" i="1"/>
  <c r="J10" i="1"/>
  <c r="J11" i="1"/>
  <c r="J12" i="1"/>
  <c r="I6" i="1"/>
  <c r="I7" i="1"/>
  <c r="I8" i="1"/>
  <c r="I10" i="1"/>
  <c r="I11" i="1"/>
  <c r="I12" i="1"/>
  <c r="K3" i="1"/>
  <c r="K4" i="1"/>
  <c r="J3" i="1"/>
  <c r="J4" i="1"/>
  <c r="I3" i="1"/>
  <c r="I4" i="1"/>
  <c r="K2" i="1"/>
  <c r="J2" i="1"/>
  <c r="I2" i="1"/>
  <c r="H11" i="1"/>
  <c r="H12" i="1"/>
  <c r="H7" i="1"/>
  <c r="H8" i="1"/>
  <c r="H6" i="1"/>
  <c r="H3" i="1"/>
  <c r="H4" i="1"/>
  <c r="H2" i="1"/>
</calcChain>
</file>

<file path=xl/sharedStrings.xml><?xml version="1.0" encoding="utf-8"?>
<sst xmlns="http://schemas.openxmlformats.org/spreadsheetml/2006/main" count="149" uniqueCount="39">
  <si>
    <t>Model</t>
  </si>
  <si>
    <t>Dataset</t>
  </si>
  <si>
    <t>TP</t>
  </si>
  <si>
    <t>FP</t>
  </si>
  <si>
    <t>TN</t>
  </si>
  <si>
    <t>FN</t>
  </si>
  <si>
    <t>My</t>
  </si>
  <si>
    <t>ESZSL</t>
  </si>
  <si>
    <t>ZDBERTa</t>
  </si>
  <si>
    <t>SDN</t>
  </si>
  <si>
    <t>UNR-IDD</t>
  </si>
  <si>
    <t>Edge-IIoTset</t>
  </si>
  <si>
    <t>Accuracy</t>
  </si>
  <si>
    <t>Precision</t>
  </si>
  <si>
    <t>Recall</t>
  </si>
  <si>
    <t>F1 score</t>
  </si>
  <si>
    <t>Column1</t>
  </si>
  <si>
    <t>Action</t>
  </si>
  <si>
    <t>Attack</t>
  </si>
  <si>
    <t>CONFIRMED ATTACK</t>
  </si>
  <si>
    <t>Display in System</t>
  </si>
  <si>
    <t>SUSPECT Attack (Potential False Positive)</t>
  </si>
  <si>
    <t>LOW - For Analyst Review</t>
  </si>
  <si>
    <t>SUSPECT Attack (Potential True Positive)</t>
  </si>
  <si>
    <t>HIGH - For Analyst Review</t>
  </si>
  <si>
    <t>Normal</t>
  </si>
  <si>
    <t>NORMAL Traffic</t>
  </si>
  <si>
    <t>No Action Required</t>
  </si>
  <si>
    <t>SUSPECT Attack (Potential False Negative)</t>
  </si>
  <si>
    <t>MEDIUM - For Analyst Review</t>
  </si>
  <si>
    <t>Initial Classification</t>
  </si>
  <si>
    <t>Ground Truth</t>
  </si>
  <si>
    <t>Sample Count</t>
  </si>
  <si>
    <t>SOAM Verdict</t>
  </si>
  <si>
    <t>Total time</t>
  </si>
  <si>
    <t>Avg latency</t>
  </si>
  <si>
    <t>Proposed Framework</t>
  </si>
  <si>
    <t>Avg latency (ms)</t>
  </si>
  <si>
    <t>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</si>
</sst>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5AD49-F555-47A3-9A8D-D87959116492}" name="Table1" displayName="Table1" ref="A1:K12" totalsRowShown="0">
  <autoFilter ref="A1:K12" xr:uid="{6565AD49-F555-47A3-9A8D-D87959116492}"/>
  <tableColumns count="11">
    <tableColumn id="1" xr3:uid="{58D79F7B-8F84-4D01-A028-65DF0739DC9A}" name="Model"/>
    <tableColumn id="2" xr3:uid="{6BD80A95-0698-4A5A-A3F0-7D3F851EE7BB}" name="Dataset"/>
    <tableColumn id="3" xr3:uid="{9638B421-E1BE-458E-93DF-94CA315FA285}" name="TP"/>
    <tableColumn id="4" xr3:uid="{DCF93599-D300-4374-BE04-F2F86F0E1407}" name="FP"/>
    <tableColumn id="5" xr3:uid="{4311A1F2-3DAA-4076-9D43-48A279DC5874}" name="TN"/>
    <tableColumn id="6" xr3:uid="{9B60B5FA-50B4-4AEF-808A-72915FF9A070}" name="FN"/>
    <tableColumn id="7" xr3:uid="{F3271CEC-2CAD-4755-9A88-70F3B4B0BCF3}" name="Column1"/>
    <tableColumn id="8" xr3:uid="{18B97BE8-3BEB-46D1-96BD-6DFAC1EA3AAF}" name="Accuracy" dataDxfId="6">
      <calculatedColumnFormula>SUM(C2+E2)/SUM(C2+D2+E2+F2)</calculatedColumnFormula>
    </tableColumn>
    <tableColumn id="9" xr3:uid="{C641E2F7-C99A-43CA-B647-8B1B32560AE1}" name="Precision" dataDxfId="5">
      <calculatedColumnFormula>C2/SUM(C2+D2)</calculatedColumnFormula>
    </tableColumn>
    <tableColumn id="10" xr3:uid="{81C097E2-A0C8-4B74-8ABF-F11A63831F53}" name="Recall" dataDxfId="4">
      <calculatedColumnFormula>C2/SUM(C2+F2)</calculatedColumnFormula>
    </tableColumn>
    <tableColumn id="11" xr3:uid="{706A18D2-15E7-4464-A89B-2DE6C70153F5}" name="F1 score" dataDxfId="3">
      <calculatedColumnFormula>2 * (I2 * J2) / (I2 + J2)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6FF17-7422-48EB-9561-B11DDCECD7F0}" name="Table13" displayName="Table13" ref="A1:F17" totalsRowShown="0">
  <autoFilter ref="A1:F17" xr:uid="{4816FF17-7422-48EB-9561-B11DDCECD7F0}"/>
  <tableColumns count="6">
    <tableColumn id="2" xr3:uid="{B0F34C5F-DB14-4F89-B456-AF5F2376B6A5}" name="Dataset"/>
    <tableColumn id="6" xr3:uid="{E4CFEC25-E82E-4759-8F55-248E772CCB79}" name="Ground Truth"/>
    <tableColumn id="1" xr3:uid="{A75A735D-7E49-4DDB-B035-B2673CCA850C}" name="Initial Classification"/>
    <tableColumn id="7" xr3:uid="{721CA82B-859B-40F4-B396-24B3B0C0F4B8}" name="Sample Count"/>
    <tableColumn id="8" xr3:uid="{5A8A3A17-7318-451E-A3B4-9130DD80680C}" name="SOAM Verdict" dataDxfId="2">
      <calculatedColumnFormula>SUM(#REF!+#REF!)/SUM(#REF!+#REF!+#REF!+B2)</calculatedColumnFormula>
    </tableColumn>
    <tableColumn id="9" xr3:uid="{186B2EFE-393C-4FCA-A57F-13C364183151}" name="Action" dataDxfId="1">
      <calculatedColumnFormula>#REF!/SUM(#REF!+#REF!)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229206-15C6-4D9C-9F87-0922D42102E1}" name="Table134" displayName="Table134" ref="A1:E12" totalsRowShown="0">
  <autoFilter ref="A1:E12" xr:uid="{74229206-15C6-4D9C-9F87-0922D42102E1}"/>
  <tableColumns count="5">
    <tableColumn id="2" xr3:uid="{7EB65F7B-CCDA-4267-9AA1-5343680237ED}" name="Dataset"/>
    <tableColumn id="6" xr3:uid="{B1499CB4-484C-4F1B-BF30-4467638C53D3}" name="Ground Truth"/>
    <tableColumn id="1" xr3:uid="{BEC25898-0CDB-48EE-B9BC-7A71A2991816}" name="Total time"/>
    <tableColumn id="7" xr3:uid="{57E87637-FA92-4144-9F51-145D118C5E78}" name="Sample Count"/>
    <tableColumn id="8" xr3:uid="{1459A0F0-A5AF-4D09-A618-A329A864ADB7}" name="Avg latency" dataDxfId="0">
      <calculatedColumnFormula>Table134[[#This Row],[Total time]]/Table134[[#This Row],[Sample Count]]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37E43E-949C-4216-9111-456A72109235}" name="Table5" displayName="Table5" ref="A1:C12" totalsRowShown="0">
  <autoFilter ref="A1:C12" xr:uid="{8937E43E-949C-4216-9111-456A72109235}"/>
  <tableColumns count="3">
    <tableColumn id="1" xr3:uid="{F27D9223-D550-465A-88D2-1E81E9A767EB}" name="Dataset"/>
    <tableColumn id="2" xr3:uid="{53EA6F75-C0C4-4924-B485-51A2470FCC80}" name="Framework"/>
    <tableColumn id="5" xr3:uid="{237C03D6-B6B9-4A33-B028-8F18E71F5B94}" name="Avg latency (m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A509-086C-4514-B4C7-EBD937C635F2}">
  <dimension ref="A1:K12"/>
  <sheetViews>
    <sheetView workbookViewId="0">
      <selection sqref="A1:K12"/>
    </sheetView>
  </sheetViews>
  <sheetFormatPr defaultRowHeight="14.4" x14ac:dyDescent="0.3"/>
  <cols>
    <col min="2" max="2" width="9.33203125" customWidth="1"/>
    <col min="7" max="7" width="10.33203125" customWidth="1"/>
    <col min="8" max="8" width="10.5546875" style="2" customWidth="1"/>
    <col min="9" max="9" width="10.6640625" style="2" customWidth="1"/>
    <col min="10" max="10" width="8.88671875" style="2"/>
    <col min="11" max="11" width="9.77734375" style="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x14ac:dyDescent="0.3">
      <c r="A2" t="s">
        <v>6</v>
      </c>
      <c r="B2" t="s">
        <v>9</v>
      </c>
      <c r="C2">
        <v>34942</v>
      </c>
      <c r="D2">
        <v>430</v>
      </c>
      <c r="E2">
        <v>6520</v>
      </c>
      <c r="F2">
        <v>108</v>
      </c>
      <c r="H2" s="2">
        <f>SUM(C2+E2)/SUM(C2+D2+E2+F2)</f>
        <v>0.98719047619047617</v>
      </c>
      <c r="I2" s="2">
        <f>C2/SUM(C2+D2)</f>
        <v>0.98784349202759247</v>
      </c>
      <c r="J2" s="2">
        <f>C2/SUM(C2+F2)</f>
        <v>0.99691868758915836</v>
      </c>
      <c r="K2" s="2">
        <f>2 * (I2 * J2) / (I2 + J2)</f>
        <v>0.99236034193859879</v>
      </c>
    </row>
    <row r="3" spans="1:11" x14ac:dyDescent="0.3">
      <c r="A3" t="s">
        <v>7</v>
      </c>
      <c r="B3" t="s">
        <v>9</v>
      </c>
      <c r="C3">
        <v>35049</v>
      </c>
      <c r="D3">
        <v>6634</v>
      </c>
      <c r="E3">
        <v>316</v>
      </c>
      <c r="F3">
        <v>1</v>
      </c>
      <c r="H3" s="2">
        <f t="shared" ref="H3:H12" si="0">SUM(C3+E3)/SUM(C3+D3+E3+F3)</f>
        <v>0.84202380952380951</v>
      </c>
      <c r="I3" s="2">
        <f t="shared" ref="I3:I12" si="1">C3/SUM(C3+D3)</f>
        <v>0.84084638821581936</v>
      </c>
      <c r="J3" s="2">
        <f t="shared" ref="J3:J12" si="2">C3/SUM(C3+F3)</f>
        <v>0.99997146932952929</v>
      </c>
      <c r="K3" s="2">
        <f t="shared" ref="K3:K12" si="3">2 * (I3 * J3) / (I3 + J3)</f>
        <v>0.91353133593108571</v>
      </c>
    </row>
    <row r="4" spans="1:11" x14ac:dyDescent="0.3">
      <c r="A4" t="s">
        <v>8</v>
      </c>
      <c r="B4" t="s">
        <v>9</v>
      </c>
      <c r="C4">
        <v>35050</v>
      </c>
      <c r="D4">
        <v>6950</v>
      </c>
      <c r="E4">
        <v>0</v>
      </c>
      <c r="F4">
        <v>0</v>
      </c>
      <c r="H4" s="2">
        <f t="shared" si="0"/>
        <v>0.83452380952380956</v>
      </c>
      <c r="I4" s="2">
        <f t="shared" si="1"/>
        <v>0.83452380952380956</v>
      </c>
      <c r="J4" s="2">
        <f t="shared" si="2"/>
        <v>1</v>
      </c>
      <c r="K4" s="2">
        <f t="shared" si="3"/>
        <v>0.90979883192731992</v>
      </c>
    </row>
    <row r="6" spans="1:11" x14ac:dyDescent="0.3">
      <c r="A6" t="s">
        <v>6</v>
      </c>
      <c r="B6" t="s">
        <v>10</v>
      </c>
      <c r="C6">
        <v>684</v>
      </c>
      <c r="D6">
        <v>1</v>
      </c>
      <c r="E6">
        <v>64</v>
      </c>
      <c r="F6">
        <v>0</v>
      </c>
      <c r="H6" s="2">
        <f t="shared" si="0"/>
        <v>0.99866488651535379</v>
      </c>
      <c r="I6" s="2">
        <f t="shared" si="1"/>
        <v>0.99854014598540142</v>
      </c>
      <c r="J6" s="2">
        <f t="shared" si="2"/>
        <v>1</v>
      </c>
      <c r="K6" s="2">
        <f t="shared" si="3"/>
        <v>0.99926953981008038</v>
      </c>
    </row>
    <row r="7" spans="1:11" x14ac:dyDescent="0.3">
      <c r="A7" t="s">
        <v>7</v>
      </c>
      <c r="B7" t="s">
        <v>10</v>
      </c>
      <c r="C7">
        <v>684</v>
      </c>
      <c r="D7">
        <v>57</v>
      </c>
      <c r="E7">
        <v>8</v>
      </c>
      <c r="F7">
        <v>0</v>
      </c>
      <c r="H7" s="2">
        <f t="shared" si="0"/>
        <v>0.92389853137516686</v>
      </c>
      <c r="I7" s="2">
        <f t="shared" si="1"/>
        <v>0.92307692307692313</v>
      </c>
      <c r="J7" s="2">
        <f t="shared" si="2"/>
        <v>1</v>
      </c>
      <c r="K7" s="2">
        <f t="shared" si="3"/>
        <v>0.96000000000000008</v>
      </c>
    </row>
    <row r="8" spans="1:11" x14ac:dyDescent="0.3">
      <c r="A8" t="s">
        <v>8</v>
      </c>
      <c r="B8" t="s">
        <v>10</v>
      </c>
      <c r="C8">
        <v>425</v>
      </c>
      <c r="D8">
        <v>21</v>
      </c>
      <c r="E8">
        <v>44</v>
      </c>
      <c r="F8">
        <v>259</v>
      </c>
      <c r="H8" s="2">
        <f t="shared" si="0"/>
        <v>0.62616822429906538</v>
      </c>
      <c r="I8" s="2">
        <f t="shared" si="1"/>
        <v>0.952914798206278</v>
      </c>
      <c r="J8" s="2">
        <f t="shared" si="2"/>
        <v>0.62134502923976609</v>
      </c>
      <c r="K8" s="2">
        <f t="shared" si="3"/>
        <v>0.75221238938053103</v>
      </c>
    </row>
    <row r="10" spans="1:11" x14ac:dyDescent="0.3">
      <c r="A10" t="s">
        <v>6</v>
      </c>
      <c r="B10" t="s">
        <v>11</v>
      </c>
      <c r="C10">
        <v>25615</v>
      </c>
      <c r="D10">
        <v>7</v>
      </c>
      <c r="E10">
        <v>4818</v>
      </c>
      <c r="F10">
        <v>0</v>
      </c>
      <c r="H10" s="1">
        <f>SUM(C10+E10)/SUM(C10+D10+E10+F10)</f>
        <v>0.99977003942181342</v>
      </c>
      <c r="I10" s="1">
        <f t="shared" si="1"/>
        <v>0.99972679728358438</v>
      </c>
      <c r="J10" s="1">
        <f t="shared" si="2"/>
        <v>1</v>
      </c>
      <c r="K10" s="1">
        <f t="shared" si="3"/>
        <v>0.99986337997931185</v>
      </c>
    </row>
    <row r="11" spans="1:11" x14ac:dyDescent="0.3">
      <c r="A11" t="s">
        <v>7</v>
      </c>
      <c r="B11" t="s">
        <v>11</v>
      </c>
      <c r="C11">
        <v>25615</v>
      </c>
      <c r="D11">
        <v>4666</v>
      </c>
      <c r="E11">
        <v>159</v>
      </c>
      <c r="F11">
        <v>0</v>
      </c>
      <c r="H11" s="2">
        <f t="shared" si="0"/>
        <v>0.8467148488830486</v>
      </c>
      <c r="I11" s="2">
        <f t="shared" si="1"/>
        <v>0.84590997655295397</v>
      </c>
      <c r="J11" s="2">
        <f t="shared" si="2"/>
        <v>1</v>
      </c>
      <c r="K11" s="2">
        <f t="shared" si="3"/>
        <v>0.91652354372405898</v>
      </c>
    </row>
    <row r="12" spans="1:11" x14ac:dyDescent="0.3">
      <c r="A12" t="s">
        <v>8</v>
      </c>
      <c r="B12" t="s">
        <v>11</v>
      </c>
      <c r="C12">
        <v>25640</v>
      </c>
      <c r="D12">
        <v>4795</v>
      </c>
      <c r="E12">
        <v>3</v>
      </c>
      <c r="F12">
        <v>2</v>
      </c>
      <c r="H12" s="2">
        <f t="shared" si="0"/>
        <v>0.84241130091984229</v>
      </c>
      <c r="I12" s="2">
        <f t="shared" si="1"/>
        <v>0.8424511253491046</v>
      </c>
      <c r="J12" s="2">
        <f t="shared" si="2"/>
        <v>0.99992200296388734</v>
      </c>
      <c r="K12" s="2">
        <f t="shared" si="3"/>
        <v>0.9144569074665192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3211-CD30-47E5-B625-971D3698B4B6}">
  <dimension ref="A1:F17"/>
  <sheetViews>
    <sheetView workbookViewId="0">
      <selection sqref="A1:F17"/>
    </sheetView>
  </sheetViews>
  <sheetFormatPr defaultRowHeight="14.4" x14ac:dyDescent="0.3"/>
  <cols>
    <col min="1" max="1" width="19.44140625" customWidth="1"/>
    <col min="2" max="2" width="10.109375" customWidth="1"/>
    <col min="3" max="3" width="30" customWidth="1"/>
    <col min="4" max="4" width="16.109375" customWidth="1"/>
    <col min="5" max="5" width="19.109375" customWidth="1"/>
    <col min="6" max="6" width="25.88671875" customWidth="1"/>
  </cols>
  <sheetData>
    <row r="1" spans="1:6" x14ac:dyDescent="0.3">
      <c r="A1" t="s">
        <v>1</v>
      </c>
      <c r="B1" t="s">
        <v>31</v>
      </c>
      <c r="C1" t="s">
        <v>30</v>
      </c>
      <c r="D1" t="s">
        <v>32</v>
      </c>
      <c r="E1" s="2" t="s">
        <v>33</v>
      </c>
      <c r="F1" s="2" t="s">
        <v>17</v>
      </c>
    </row>
    <row r="2" spans="1:6" x14ac:dyDescent="0.3">
      <c r="A2" t="s">
        <v>9</v>
      </c>
      <c r="B2" t="s">
        <v>2</v>
      </c>
      <c r="C2" t="s">
        <v>18</v>
      </c>
      <c r="D2">
        <v>11</v>
      </c>
      <c r="E2" t="s">
        <v>19</v>
      </c>
      <c r="F2" t="s">
        <v>20</v>
      </c>
    </row>
    <row r="3" spans="1:6" x14ac:dyDescent="0.3">
      <c r="A3" t="s">
        <v>9</v>
      </c>
      <c r="B3" t="s">
        <v>2</v>
      </c>
      <c r="C3" t="s">
        <v>18</v>
      </c>
      <c r="D3">
        <v>28</v>
      </c>
      <c r="E3" t="s">
        <v>21</v>
      </c>
      <c r="F3" t="s">
        <v>22</v>
      </c>
    </row>
    <row r="4" spans="1:6" x14ac:dyDescent="0.3">
      <c r="A4" t="s">
        <v>9</v>
      </c>
      <c r="B4" t="s">
        <v>2</v>
      </c>
      <c r="C4" t="s">
        <v>18</v>
      </c>
      <c r="D4">
        <v>11</v>
      </c>
      <c r="E4" t="s">
        <v>23</v>
      </c>
      <c r="F4" t="s">
        <v>24</v>
      </c>
    </row>
    <row r="5" spans="1:6" x14ac:dyDescent="0.3">
      <c r="A5" t="s">
        <v>9</v>
      </c>
      <c r="B5" t="s">
        <v>3</v>
      </c>
      <c r="C5" t="s">
        <v>18</v>
      </c>
      <c r="D5">
        <v>50</v>
      </c>
      <c r="E5" t="s">
        <v>21</v>
      </c>
      <c r="F5" t="s">
        <v>22</v>
      </c>
    </row>
    <row r="6" spans="1:6" x14ac:dyDescent="0.3">
      <c r="A6" t="s">
        <v>9</v>
      </c>
      <c r="B6" t="s">
        <v>4</v>
      </c>
      <c r="C6" t="s">
        <v>25</v>
      </c>
      <c r="D6">
        <v>32</v>
      </c>
      <c r="E6" t="s">
        <v>26</v>
      </c>
      <c r="F6" t="s">
        <v>27</v>
      </c>
    </row>
    <row r="7" spans="1:6" x14ac:dyDescent="0.3">
      <c r="A7" t="s">
        <v>9</v>
      </c>
      <c r="B7" t="s">
        <v>4</v>
      </c>
      <c r="C7" t="s">
        <v>25</v>
      </c>
      <c r="D7">
        <v>18</v>
      </c>
      <c r="E7" t="s">
        <v>28</v>
      </c>
      <c r="F7" t="s">
        <v>29</v>
      </c>
    </row>
    <row r="8" spans="1:6" x14ac:dyDescent="0.3">
      <c r="A8" t="s">
        <v>9</v>
      </c>
      <c r="B8" t="s">
        <v>5</v>
      </c>
      <c r="C8" t="s">
        <v>25</v>
      </c>
      <c r="D8">
        <v>11</v>
      </c>
      <c r="E8" t="s">
        <v>26</v>
      </c>
      <c r="F8" t="s">
        <v>27</v>
      </c>
    </row>
    <row r="9" spans="1:6" x14ac:dyDescent="0.3">
      <c r="A9" t="s">
        <v>9</v>
      </c>
      <c r="B9" t="s">
        <v>5</v>
      </c>
      <c r="C9" t="s">
        <v>25</v>
      </c>
      <c r="D9">
        <v>39</v>
      </c>
      <c r="E9" t="s">
        <v>28</v>
      </c>
      <c r="F9" t="s">
        <v>29</v>
      </c>
    </row>
    <row r="11" spans="1:6" x14ac:dyDescent="0.3">
      <c r="A11" t="s">
        <v>10</v>
      </c>
      <c r="B11" t="s">
        <v>2</v>
      </c>
      <c r="C11" t="s">
        <v>18</v>
      </c>
      <c r="D11">
        <v>50</v>
      </c>
      <c r="E11" t="s">
        <v>23</v>
      </c>
      <c r="F11" t="s">
        <v>24</v>
      </c>
    </row>
    <row r="12" spans="1:6" x14ac:dyDescent="0.3">
      <c r="A12" t="s">
        <v>10</v>
      </c>
      <c r="B12" t="s">
        <v>3</v>
      </c>
      <c r="C12" t="s">
        <v>18</v>
      </c>
      <c r="D12">
        <v>1</v>
      </c>
      <c r="E12" t="s">
        <v>23</v>
      </c>
      <c r="F12" t="s">
        <v>24</v>
      </c>
    </row>
    <row r="13" spans="1:6" x14ac:dyDescent="0.3">
      <c r="A13" t="s">
        <v>10</v>
      </c>
      <c r="B13" t="s">
        <v>4</v>
      </c>
      <c r="C13" t="s">
        <v>25</v>
      </c>
      <c r="D13">
        <v>50</v>
      </c>
      <c r="E13" t="s">
        <v>26</v>
      </c>
      <c r="F13" t="s">
        <v>27</v>
      </c>
    </row>
    <row r="15" spans="1:6" x14ac:dyDescent="0.3">
      <c r="A15" t="s">
        <v>11</v>
      </c>
      <c r="B15" t="s">
        <v>2</v>
      </c>
      <c r="C15" t="s">
        <v>18</v>
      </c>
      <c r="D15">
        <v>50</v>
      </c>
      <c r="E15" t="s">
        <v>23</v>
      </c>
      <c r="F15" t="s">
        <v>24</v>
      </c>
    </row>
    <row r="16" spans="1:6" x14ac:dyDescent="0.3">
      <c r="A16" t="s">
        <v>11</v>
      </c>
      <c r="B16" t="s">
        <v>3</v>
      </c>
      <c r="C16" t="s">
        <v>18</v>
      </c>
      <c r="D16">
        <v>7</v>
      </c>
      <c r="E16" t="s">
        <v>23</v>
      </c>
      <c r="F16" t="s">
        <v>24</v>
      </c>
    </row>
    <row r="17" spans="1:6" x14ac:dyDescent="0.3">
      <c r="A17" t="s">
        <v>11</v>
      </c>
      <c r="B17" t="s">
        <v>4</v>
      </c>
      <c r="C17" t="s">
        <v>25</v>
      </c>
      <c r="D17">
        <v>50</v>
      </c>
      <c r="E17" t="s">
        <v>26</v>
      </c>
      <c r="F17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545C-8345-405A-8E05-E223523547AA}">
  <dimension ref="A1:E12"/>
  <sheetViews>
    <sheetView workbookViewId="0">
      <selection sqref="A1:E12"/>
    </sheetView>
  </sheetViews>
  <sheetFormatPr defaultRowHeight="14.4" x14ac:dyDescent="0.3"/>
  <cols>
    <col min="2" max="2" width="23.77734375" customWidth="1"/>
    <col min="3" max="3" width="15.6640625" customWidth="1"/>
    <col min="4" max="4" width="13.21875" customWidth="1"/>
    <col min="5" max="5" width="30.44140625" customWidth="1"/>
    <col min="6" max="6" width="44" customWidth="1"/>
  </cols>
  <sheetData>
    <row r="1" spans="1:5" x14ac:dyDescent="0.3">
      <c r="A1" t="s">
        <v>1</v>
      </c>
      <c r="B1" t="s">
        <v>31</v>
      </c>
      <c r="C1" t="s">
        <v>34</v>
      </c>
      <c r="D1" t="s">
        <v>32</v>
      </c>
      <c r="E1" s="2" t="s">
        <v>35</v>
      </c>
    </row>
    <row r="2" spans="1:5" x14ac:dyDescent="0.3">
      <c r="A2" t="s">
        <v>9</v>
      </c>
      <c r="B2" t="s">
        <v>36</v>
      </c>
      <c r="C2">
        <v>1881.15</v>
      </c>
      <c r="D2">
        <v>200</v>
      </c>
      <c r="E2">
        <f>Table134[[#This Row],[Total time]]/Table134[[#This Row],[Sample Count]]</f>
        <v>9.4057500000000012</v>
      </c>
    </row>
    <row r="3" spans="1:5" x14ac:dyDescent="0.3">
      <c r="A3" t="s">
        <v>9</v>
      </c>
      <c r="B3" t="s">
        <v>7</v>
      </c>
      <c r="C3">
        <v>1.361</v>
      </c>
      <c r="D3">
        <v>152</v>
      </c>
      <c r="E3">
        <f>Table134[[#This Row],[Total time]]/Table134[[#This Row],[Sample Count]]</f>
        <v>8.9539473684210526E-3</v>
      </c>
    </row>
    <row r="4" spans="1:5" x14ac:dyDescent="0.3">
      <c r="A4" t="s">
        <v>9</v>
      </c>
      <c r="B4" t="s">
        <v>8</v>
      </c>
      <c r="C4">
        <v>3526.45</v>
      </c>
      <c r="D4">
        <v>200</v>
      </c>
      <c r="E4">
        <f>Table134[[#This Row],[Total time]]/Table134[[#This Row],[Sample Count]]</f>
        <v>17.632249999999999</v>
      </c>
    </row>
    <row r="6" spans="1:5" x14ac:dyDescent="0.3">
      <c r="A6" t="s">
        <v>10</v>
      </c>
      <c r="B6" t="s">
        <v>36</v>
      </c>
      <c r="C6">
        <v>50.313000000000002</v>
      </c>
      <c r="D6">
        <v>101</v>
      </c>
      <c r="E6">
        <f>Table134[[#This Row],[Total time]]/Table134[[#This Row],[Sample Count]]</f>
        <v>0.49814851485148515</v>
      </c>
    </row>
    <row r="7" spans="1:5" x14ac:dyDescent="0.3">
      <c r="A7" t="s">
        <v>10</v>
      </c>
      <c r="B7" t="s">
        <v>7</v>
      </c>
      <c r="C7">
        <v>2.15</v>
      </c>
      <c r="D7">
        <v>108</v>
      </c>
      <c r="E7">
        <f>Table134[[#This Row],[Total time]]/Table134[[#This Row],[Sample Count]]</f>
        <v>1.9907407407407405E-2</v>
      </c>
    </row>
    <row r="8" spans="1:5" x14ac:dyDescent="0.3">
      <c r="A8" t="s">
        <v>10</v>
      </c>
      <c r="B8" t="s">
        <v>8</v>
      </c>
      <c r="C8">
        <v>2248.84</v>
      </c>
      <c r="D8">
        <v>165</v>
      </c>
      <c r="E8">
        <f>Table134[[#This Row],[Total time]]/Table134[[#This Row],[Sample Count]]</f>
        <v>13.629333333333335</v>
      </c>
    </row>
    <row r="10" spans="1:5" x14ac:dyDescent="0.3">
      <c r="A10" t="s">
        <v>11</v>
      </c>
      <c r="B10" t="s">
        <v>36</v>
      </c>
      <c r="C10">
        <v>104.56100000000001</v>
      </c>
      <c r="D10">
        <v>107</v>
      </c>
      <c r="E10">
        <f>Table134[[#This Row],[Total time]]/Table134[[#This Row],[Sample Count]]</f>
        <v>0.97720560747663554</v>
      </c>
    </row>
    <row r="11" spans="1:5" x14ac:dyDescent="0.3">
      <c r="A11" t="s">
        <v>11</v>
      </c>
      <c r="B11" t="s">
        <v>7</v>
      </c>
      <c r="C11">
        <v>29.92</v>
      </c>
      <c r="D11">
        <v>150</v>
      </c>
      <c r="E11">
        <f>Table134[[#This Row],[Total time]]/Table134[[#This Row],[Sample Count]]</f>
        <v>0.19946666666666668</v>
      </c>
    </row>
    <row r="12" spans="1:5" x14ac:dyDescent="0.3">
      <c r="A12" t="s">
        <v>11</v>
      </c>
      <c r="B12" t="s">
        <v>8</v>
      </c>
      <c r="C12">
        <v>6079.2979999999998</v>
      </c>
      <c r="D12">
        <v>105</v>
      </c>
      <c r="E12">
        <f>Table134[[#This Row],[Total time]]/Table134[[#This Row],[Sample Count]]</f>
        <v>57.898076190476189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AFD1D-2E68-46EC-A6D9-A829E4B2A527}">
  <dimension ref="A1:C12"/>
  <sheetViews>
    <sheetView tabSelected="1" workbookViewId="0">
      <selection activeCell="P14" sqref="P14"/>
    </sheetView>
  </sheetViews>
  <sheetFormatPr defaultRowHeight="14.4" x14ac:dyDescent="0.3"/>
  <cols>
    <col min="1" max="1" width="9.33203125" customWidth="1"/>
    <col min="2" max="2" width="13.5546875" customWidth="1"/>
    <col min="3" max="3" width="11.21875" customWidth="1"/>
    <col min="4" max="4" width="14.5546875" customWidth="1"/>
    <col min="5" max="5" width="12.21875" customWidth="1"/>
  </cols>
  <sheetData>
    <row r="1" spans="1:3" x14ac:dyDescent="0.3">
      <c r="A1" t="s">
        <v>1</v>
      </c>
      <c r="B1" t="s">
        <v>38</v>
      </c>
      <c r="C1" t="s">
        <v>37</v>
      </c>
    </row>
    <row r="2" spans="1:3" x14ac:dyDescent="0.3">
      <c r="A2" t="s">
        <v>9</v>
      </c>
      <c r="B2" t="s">
        <v>36</v>
      </c>
      <c r="C2">
        <v>9.4057500000000012</v>
      </c>
    </row>
    <row r="3" spans="1:3" x14ac:dyDescent="0.3">
      <c r="A3" t="s">
        <v>9</v>
      </c>
      <c r="B3" t="s">
        <v>7</v>
      </c>
      <c r="C3">
        <v>8.9539473684210526E-3</v>
      </c>
    </row>
    <row r="4" spans="1:3" x14ac:dyDescent="0.3">
      <c r="A4" t="s">
        <v>9</v>
      </c>
      <c r="B4" t="s">
        <v>8</v>
      </c>
      <c r="C4">
        <v>17.632249999999999</v>
      </c>
    </row>
    <row r="6" spans="1:3" x14ac:dyDescent="0.3">
      <c r="A6" t="s">
        <v>10</v>
      </c>
      <c r="B6" t="s">
        <v>36</v>
      </c>
      <c r="C6">
        <v>0.49814851485148515</v>
      </c>
    </row>
    <row r="7" spans="1:3" x14ac:dyDescent="0.3">
      <c r="A7" t="s">
        <v>10</v>
      </c>
      <c r="B7" t="s">
        <v>7</v>
      </c>
      <c r="C7">
        <v>1.9907407407407405E-2</v>
      </c>
    </row>
    <row r="8" spans="1:3" x14ac:dyDescent="0.3">
      <c r="A8" t="s">
        <v>10</v>
      </c>
      <c r="B8" t="s">
        <v>8</v>
      </c>
      <c r="C8">
        <v>13.629333333333335</v>
      </c>
    </row>
    <row r="10" spans="1:3" x14ac:dyDescent="0.3">
      <c r="A10" t="s">
        <v>11</v>
      </c>
      <c r="B10" t="s">
        <v>36</v>
      </c>
      <c r="C10">
        <v>0.97720560747663554</v>
      </c>
    </row>
    <row r="11" spans="1:3" x14ac:dyDescent="0.3">
      <c r="A11" t="s">
        <v>11</v>
      </c>
      <c r="B11" t="s">
        <v>7</v>
      </c>
      <c r="C11">
        <v>0.19946666666666668</v>
      </c>
    </row>
    <row r="12" spans="1:3" x14ac:dyDescent="0.3">
      <c r="A12" t="s">
        <v>11</v>
      </c>
      <c r="B12" t="s">
        <v>8</v>
      </c>
      <c r="C12">
        <v>57.898076190476189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MOHAMED NAIROOS (2236750)</dc:creator>
  <cp:lastModifiedBy>HAROON MOHAMED NAIROOS (2236750)</cp:lastModifiedBy>
  <dcterms:created xsi:type="dcterms:W3CDTF">2026-03-18T12:19:35Z</dcterms:created>
  <dcterms:modified xsi:type="dcterms:W3CDTF">2026-03-18T20:51:47Z</dcterms:modified>
</cp:coreProperties>
</file>